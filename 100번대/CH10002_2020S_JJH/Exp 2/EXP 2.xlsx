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dl\OneDrive\바탕 화면\20200548 일화실\Exp 2\"/>
    </mc:Choice>
  </mc:AlternateContent>
  <xr:revisionPtr revIDLastSave="0" documentId="13_ncr:1_{99821B0E-BA94-40B5-BBEA-8A051833C614}" xr6:coauthVersionLast="45" xr6:coauthVersionMax="45" xr10:uidLastSave="{00000000-0000-0000-0000-000000000000}"/>
  <bookViews>
    <workbookView xWindow="-120" yWindow="-120" windowWidth="25440" windowHeight="15390" activeTab="2" xr2:uid="{CE4E1BBF-D92B-4DA7-95A0-527791D1477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3" l="1"/>
  <c r="F15" i="3"/>
  <c r="F16" i="3"/>
  <c r="F17" i="3"/>
  <c r="F18" i="3"/>
  <c r="F19" i="3"/>
  <c r="F20" i="3"/>
  <c r="F21" i="3"/>
  <c r="F22" i="3"/>
  <c r="F13" i="3"/>
  <c r="G14" i="3"/>
  <c r="G15" i="3"/>
  <c r="G16" i="3"/>
  <c r="G17" i="3"/>
  <c r="G18" i="3"/>
  <c r="G19" i="3"/>
  <c r="G20" i="3"/>
  <c r="G21" i="3"/>
  <c r="G22" i="3"/>
  <c r="G13" i="3"/>
  <c r="E14" i="3"/>
  <c r="E15" i="3"/>
  <c r="E16" i="3"/>
  <c r="E17" i="3"/>
  <c r="E18" i="3"/>
  <c r="E19" i="3"/>
  <c r="E20" i="3"/>
  <c r="E21" i="3"/>
  <c r="E22" i="3"/>
  <c r="E13" i="3"/>
  <c r="C3" i="3"/>
  <c r="C4" i="3"/>
  <c r="C2" i="3"/>
  <c r="D14" i="3"/>
  <c r="D15" i="3"/>
  <c r="D16" i="3"/>
  <c r="D17" i="3"/>
  <c r="D18" i="3"/>
  <c r="D19" i="3"/>
  <c r="D20" i="3"/>
  <c r="D21" i="3"/>
  <c r="D22" i="3"/>
  <c r="D13" i="3"/>
  <c r="G2" i="3"/>
  <c r="I2" i="3" s="1"/>
  <c r="G3" i="3"/>
  <c r="I3" i="3" s="1"/>
  <c r="G4" i="3"/>
  <c r="I4" i="3" s="1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B4" i="3"/>
  <c r="F12" i="2" l="1"/>
  <c r="F11" i="2"/>
  <c r="D11" i="2"/>
  <c r="F10" i="2"/>
  <c r="D10" i="2"/>
  <c r="G11" i="2" s="1"/>
  <c r="F9" i="2"/>
  <c r="D9" i="2"/>
  <c r="G10" i="2" s="1"/>
  <c r="F8" i="2"/>
  <c r="D8" i="2"/>
  <c r="G9" i="2" s="1"/>
  <c r="F7" i="2"/>
  <c r="D7" i="2"/>
  <c r="G8" i="2" s="1"/>
  <c r="F6" i="2"/>
  <c r="D6" i="2"/>
  <c r="G7" i="2" s="1"/>
  <c r="F5" i="2"/>
  <c r="D5" i="2"/>
  <c r="G6" i="2" s="1"/>
  <c r="F4" i="2"/>
  <c r="D4" i="2"/>
  <c r="G5" i="2" s="1"/>
  <c r="F3" i="2"/>
  <c r="D3" i="2"/>
  <c r="G4" i="2" s="1"/>
  <c r="F2" i="2"/>
  <c r="D2" i="2"/>
  <c r="G3" i="2" s="1"/>
  <c r="D1" i="2"/>
  <c r="G2" i="2" s="1"/>
  <c r="F3" i="1"/>
  <c r="F4" i="1"/>
  <c r="F5" i="1"/>
  <c r="F6" i="1"/>
  <c r="F7" i="1"/>
  <c r="F8" i="1"/>
  <c r="F9" i="1"/>
  <c r="F10" i="1"/>
  <c r="F11" i="1"/>
  <c r="F12" i="1"/>
  <c r="F2" i="1"/>
  <c r="D2" i="1"/>
  <c r="G3" i="1" s="1"/>
  <c r="D3" i="1"/>
  <c r="G4" i="1" s="1"/>
  <c r="D4" i="1"/>
  <c r="G5" i="1" s="1"/>
  <c r="D5" i="1"/>
  <c r="G6" i="1" s="1"/>
  <c r="D6" i="1"/>
  <c r="G7" i="1" s="1"/>
  <c r="D7" i="1"/>
  <c r="G8" i="1" s="1"/>
  <c r="D8" i="1"/>
  <c r="G9" i="1" s="1"/>
  <c r="D9" i="1"/>
  <c r="G10" i="1" s="1"/>
  <c r="D10" i="1"/>
  <c r="G11" i="1" s="1"/>
  <c r="D11" i="1"/>
  <c r="D1" i="1"/>
  <c r="G2" i="1" s="1"/>
</calcChain>
</file>

<file path=xl/sharedStrings.xml><?xml version="1.0" encoding="utf-8"?>
<sst xmlns="http://schemas.openxmlformats.org/spreadsheetml/2006/main" count="12" uniqueCount="9">
  <si>
    <t>distance (bohr)</t>
  </si>
  <si>
    <t>Potential Energy (eV)</t>
    <phoneticPr fontId="3" type="noConversion"/>
  </si>
  <si>
    <t>Veffc of H atom</t>
    <phoneticPr fontId="3" type="noConversion"/>
  </si>
  <si>
    <t>EK</t>
    <phoneticPr fontId="3" type="noConversion"/>
  </si>
  <si>
    <t>EP</t>
    <phoneticPr fontId="3" type="noConversion"/>
  </si>
  <si>
    <t>T</t>
    <phoneticPr fontId="3" type="noConversion"/>
  </si>
  <si>
    <t>T (eV)</t>
    <phoneticPr fontId="3" type="noConversion"/>
  </si>
  <si>
    <t>V (eV)</t>
    <phoneticPr fontId="3" type="noConversion"/>
  </si>
  <si>
    <t>Veff (eV)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</si>
</sst>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Potential Energy (eV)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Sheet1!$F$2:$F$11</c:f>
              <c:numCache>
                <c:formatCode>General</c:formatCode>
                <c:ptCount val="10"/>
                <c:pt idx="0">
                  <c:v>0.94486343888717761</c:v>
                </c:pt>
                <c:pt idx="1">
                  <c:v>1.3228088144420487</c:v>
                </c:pt>
                <c:pt idx="2">
                  <c:v>1.7007541899969199</c:v>
                </c:pt>
                <c:pt idx="3">
                  <c:v>1.8897268777743552</c:v>
                </c:pt>
                <c:pt idx="4">
                  <c:v>2.4566449411066618</c:v>
                </c:pt>
                <c:pt idx="5">
                  <c:v>3.0235630044389685</c:v>
                </c:pt>
                <c:pt idx="6">
                  <c:v>3.5904810677712748</c:v>
                </c:pt>
                <c:pt idx="7">
                  <c:v>4.7243171944358879</c:v>
                </c:pt>
                <c:pt idx="8">
                  <c:v>5.2912352577681947</c:v>
                </c:pt>
                <c:pt idx="9">
                  <c:v>7.3699348233199853</c:v>
                </c:pt>
              </c:numCache>
            </c:numRef>
          </c:xVal>
          <c:yVal>
            <c:numRef>
              <c:f>Sheet1!$G$2:$G$11</c:f>
              <c:numCache>
                <c:formatCode>General</c:formatCode>
                <c:ptCount val="10"/>
                <c:pt idx="0">
                  <c:v>27.269033745200002</c:v>
                </c:pt>
                <c:pt idx="1">
                  <c:v>17.652524985199999</c:v>
                </c:pt>
                <c:pt idx="2">
                  <c:v>11.990322450400001</c:v>
                </c:pt>
                <c:pt idx="3">
                  <c:v>10.021087855200001</c:v>
                </c:pt>
                <c:pt idx="4">
                  <c:v>5.7929805232000007</c:v>
                </c:pt>
                <c:pt idx="5">
                  <c:v>3.4690453290000005</c:v>
                </c:pt>
                <c:pt idx="6">
                  <c:v>2.0151674384000002</c:v>
                </c:pt>
                <c:pt idx="7">
                  <c:v>0.62975343020000074</c:v>
                </c:pt>
                <c:pt idx="8">
                  <c:v>0.32569324660000021</c:v>
                </c:pt>
                <c:pt idx="9">
                  <c:v>-4.2150458599999108E-2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8-4B38-A948-4B8A2FC99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789304"/>
        <c:axId val="460787992"/>
      </c:scatterChart>
      <c:valAx>
        <c:axId val="460789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787992"/>
        <c:crosses val="autoZero"/>
        <c:crossBetween val="midCat"/>
      </c:valAx>
      <c:valAx>
        <c:axId val="46078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789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Potential Energy (eV)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Sheet2!$F$2:$F$11</c:f>
              <c:numCache>
                <c:formatCode>General</c:formatCode>
                <c:ptCount val="10"/>
                <c:pt idx="0">
                  <c:v>0.94486343888717761</c:v>
                </c:pt>
                <c:pt idx="1">
                  <c:v>1.3228088144420487</c:v>
                </c:pt>
                <c:pt idx="2">
                  <c:v>1.7007541899969199</c:v>
                </c:pt>
                <c:pt idx="3">
                  <c:v>1.8897268777743552</c:v>
                </c:pt>
                <c:pt idx="4">
                  <c:v>2.4566449411066618</c:v>
                </c:pt>
                <c:pt idx="5">
                  <c:v>3.0235630044389685</c:v>
                </c:pt>
                <c:pt idx="6">
                  <c:v>3.5904810677712748</c:v>
                </c:pt>
                <c:pt idx="7">
                  <c:v>4.7243171944358879</c:v>
                </c:pt>
                <c:pt idx="8">
                  <c:v>5.2912352577681947</c:v>
                </c:pt>
                <c:pt idx="9">
                  <c:v>7.3699348233199853</c:v>
                </c:pt>
              </c:numCache>
            </c:numRef>
          </c:xVal>
          <c:yVal>
            <c:numRef>
              <c:f>Sheet2!$G$2:$G$11</c:f>
              <c:numCache>
                <c:formatCode>General</c:formatCode>
                <c:ptCount val="10"/>
                <c:pt idx="0">
                  <c:v>2.369976883000001</c:v>
                </c:pt>
                <c:pt idx="1">
                  <c:v>-1.6939640727999994</c:v>
                </c:pt>
                <c:pt idx="2">
                  <c:v>-2.8065293731999987</c:v>
                </c:pt>
                <c:pt idx="3">
                  <c:v>-2.9044359903999983</c:v>
                </c:pt>
                <c:pt idx="4">
                  <c:v>-2.7458751626000009</c:v>
                </c:pt>
                <c:pt idx="5">
                  <c:v>-2.2199332234000004</c:v>
                </c:pt>
                <c:pt idx="6">
                  <c:v>-1.7251755485999996</c:v>
                </c:pt>
                <c:pt idx="7">
                  <c:v>-0.95046699059999973</c:v>
                </c:pt>
                <c:pt idx="8">
                  <c:v>-0.67525089099999791</c:v>
                </c:pt>
                <c:pt idx="9">
                  <c:v>-0.182506859799999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5-46EE-B2D4-C7CFB7FFE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56016"/>
        <c:axId val="581421792"/>
      </c:scatterChart>
      <c:valAx>
        <c:axId val="58205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1421792"/>
        <c:crosses val="autoZero"/>
        <c:crossBetween val="midCat"/>
      </c:valAx>
      <c:valAx>
        <c:axId val="5814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205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Sheet3!$E$12</c:f>
              <c:strCache>
                <c:ptCount val="1"/>
                <c:pt idx="0">
                  <c:v>T (eV)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Sheet3!$D$13:$D$22</c:f>
              <c:numCache>
                <c:formatCode>General</c:formatCode>
                <c:ptCount val="10"/>
                <c:pt idx="0">
                  <c:v>0.94486343888717761</c:v>
                </c:pt>
                <c:pt idx="1">
                  <c:v>1.3228088144420487</c:v>
                </c:pt>
                <c:pt idx="2">
                  <c:v>1.7007541899969199</c:v>
                </c:pt>
                <c:pt idx="3">
                  <c:v>1.8897268777743552</c:v>
                </c:pt>
                <c:pt idx="4">
                  <c:v>2.4566449411066618</c:v>
                </c:pt>
                <c:pt idx="5">
                  <c:v>3.0235630044389685</c:v>
                </c:pt>
                <c:pt idx="6">
                  <c:v>3.5904810677712748</c:v>
                </c:pt>
                <c:pt idx="7">
                  <c:v>4.7243171944358879</c:v>
                </c:pt>
                <c:pt idx="8">
                  <c:v>5.2912352577681947</c:v>
                </c:pt>
                <c:pt idx="9">
                  <c:v>7.3699348233199853</c:v>
                </c:pt>
              </c:numCache>
            </c:numRef>
          </c:xVal>
          <c:yVal>
            <c:numRef>
              <c:f>Sheet3!$E$13:$E$22</c:f>
              <c:numCache>
                <c:formatCode>General</c:formatCode>
                <c:ptCount val="10"/>
                <c:pt idx="0">
                  <c:v>12.290355346800002</c:v>
                </c:pt>
                <c:pt idx="1">
                  <c:v>7.5465919848000027</c:v>
                </c:pt>
                <c:pt idx="2">
                  <c:v>4.1506092647999999</c:v>
                </c:pt>
                <c:pt idx="3">
                  <c:v>2.757195105000001</c:v>
                </c:pt>
                <c:pt idx="4">
                  <c:v>0.29848184660000143</c:v>
                </c:pt>
                <c:pt idx="5">
                  <c:v>-1.2090025019999988</c:v>
                </c:pt>
                <c:pt idx="6">
                  <c:v>-1.7242231495999985</c:v>
                </c:pt>
                <c:pt idx="7">
                  <c:v>-1.6624260601999996</c:v>
                </c:pt>
                <c:pt idx="8">
                  <c:v>-1.3788832721999977</c:v>
                </c:pt>
                <c:pt idx="9">
                  <c:v>-0.20563654979999946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64-40A4-9014-5BD7C04013AB}"/>
            </c:ext>
          </c:extLst>
        </c:ser>
        <c:ser>
          <c:idx val="2"/>
          <c:order val="1"/>
          <c:tx>
            <c:strRef>
              <c:f>Sheet3!$F$12</c:f>
              <c:strCache>
                <c:ptCount val="1"/>
                <c:pt idx="0">
                  <c:v>V (eV)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Sheet3!$D$13:$D$22</c:f>
              <c:numCache>
                <c:formatCode>General</c:formatCode>
                <c:ptCount val="10"/>
                <c:pt idx="0">
                  <c:v>0.94486343888717761</c:v>
                </c:pt>
                <c:pt idx="1">
                  <c:v>1.3228088144420487</c:v>
                </c:pt>
                <c:pt idx="2">
                  <c:v>1.7007541899969199</c:v>
                </c:pt>
                <c:pt idx="3">
                  <c:v>1.8897268777743552</c:v>
                </c:pt>
                <c:pt idx="4">
                  <c:v>2.4566449411066618</c:v>
                </c:pt>
                <c:pt idx="5">
                  <c:v>3.0235630044389685</c:v>
                </c:pt>
                <c:pt idx="6">
                  <c:v>3.5904810677712748</c:v>
                </c:pt>
                <c:pt idx="7">
                  <c:v>4.7243171944358879</c:v>
                </c:pt>
                <c:pt idx="8">
                  <c:v>5.2912352577681947</c:v>
                </c:pt>
                <c:pt idx="9">
                  <c:v>7.3699348233199853</c:v>
                </c:pt>
              </c:numCache>
            </c:numRef>
          </c:xVal>
          <c:yVal>
            <c:numRef>
              <c:f>Sheet3!$F$13:$F$22</c:f>
              <c:numCache>
                <c:formatCode>General</c:formatCode>
                <c:ptCount val="10"/>
                <c:pt idx="0">
                  <c:v>-9.9204056751999943</c:v>
                </c:pt>
                <c:pt idx="1">
                  <c:v>-9.2405560576000028</c:v>
                </c:pt>
                <c:pt idx="2">
                  <c:v>-6.9571386379999964</c:v>
                </c:pt>
                <c:pt idx="3">
                  <c:v>-5.6616310953999971</c:v>
                </c:pt>
                <c:pt idx="4">
                  <c:v>-3.0443570091999952</c:v>
                </c:pt>
                <c:pt idx="5">
                  <c:v>-1.0109307214000012</c:v>
                </c:pt>
                <c:pt idx="6">
                  <c:v>-9.523990000026572E-4</c:v>
                </c:pt>
                <c:pt idx="7">
                  <c:v>0.71195906959999888</c:v>
                </c:pt>
                <c:pt idx="8">
                  <c:v>0.70363238120000204</c:v>
                </c:pt>
                <c:pt idx="9">
                  <c:v>2.3129689999997538E-2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764-40A4-9014-5BD7C04013AB}"/>
            </c:ext>
          </c:extLst>
        </c:ser>
        <c:ser>
          <c:idx val="0"/>
          <c:order val="2"/>
          <c:tx>
            <c:strRef>
              <c:f>Sheet3!$G$12</c:f>
              <c:strCache>
                <c:ptCount val="1"/>
                <c:pt idx="0">
                  <c:v>Veff (eV)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Sheet3!$D$13:$D$22</c:f>
              <c:numCache>
                <c:formatCode>General</c:formatCode>
                <c:ptCount val="10"/>
                <c:pt idx="0">
                  <c:v>0.94486343888717761</c:v>
                </c:pt>
                <c:pt idx="1">
                  <c:v>1.3228088144420487</c:v>
                </c:pt>
                <c:pt idx="2">
                  <c:v>1.7007541899969199</c:v>
                </c:pt>
                <c:pt idx="3">
                  <c:v>1.8897268777743552</c:v>
                </c:pt>
                <c:pt idx="4">
                  <c:v>2.4566449411066618</c:v>
                </c:pt>
                <c:pt idx="5">
                  <c:v>3.0235630044389685</c:v>
                </c:pt>
                <c:pt idx="6">
                  <c:v>3.5904810677712748</c:v>
                </c:pt>
                <c:pt idx="7">
                  <c:v>4.7243171944358879</c:v>
                </c:pt>
                <c:pt idx="8">
                  <c:v>5.2912352577681947</c:v>
                </c:pt>
                <c:pt idx="9">
                  <c:v>7.3699348233199853</c:v>
                </c:pt>
              </c:numCache>
            </c:numRef>
          </c:xVal>
          <c:yVal>
            <c:numRef>
              <c:f>Sheet3!$G$13:$G$22</c:f>
              <c:numCache>
                <c:formatCode>General</c:formatCode>
                <c:ptCount val="10"/>
                <c:pt idx="0">
                  <c:v>2.3699496716000024</c:v>
                </c:pt>
                <c:pt idx="1">
                  <c:v>-1.6939640728000001</c:v>
                </c:pt>
                <c:pt idx="2">
                  <c:v>-2.8065293731999983</c:v>
                </c:pt>
                <c:pt idx="3">
                  <c:v>-2.9044359903999979</c:v>
                </c:pt>
                <c:pt idx="4">
                  <c:v>-2.7458751625999955</c:v>
                </c:pt>
                <c:pt idx="5">
                  <c:v>-2.2199332234</c:v>
                </c:pt>
                <c:pt idx="6">
                  <c:v>-1.7251755486000029</c:v>
                </c:pt>
                <c:pt idx="7">
                  <c:v>-0.95046699060000073</c:v>
                </c:pt>
                <c:pt idx="8">
                  <c:v>-0.67525089099999747</c:v>
                </c:pt>
                <c:pt idx="9">
                  <c:v>-0.18250685980000192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64-40A4-9014-5BD7C040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69280"/>
        <c:axId val="458070920"/>
      </c:scatterChart>
      <c:valAx>
        <c:axId val="45806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8070920"/>
        <c:crosses val="autoZero"/>
        <c:crossBetween val="midCat"/>
      </c:valAx>
      <c:valAx>
        <c:axId val="45807092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8069280"/>
        <c:crosses val="autoZero"/>
        <c:crossBetween val="midCat"/>
        <c:majorUnit val="5"/>
      </c:valAx>
    </c:plotArea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109537</xdr:colOff>
      <xdr:row>2</xdr:row>
      <xdr:rowOff>95250</xdr:rowOff>
    </xdr:from>
    <xdr:to>
      <xdr:col>15</xdr:col>
      <xdr:colOff>566737</xdr:colOff>
      <xdr:row>15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CA5F1AA-CB06-467E-981B-23E214C05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9</xdr:row>
      <xdr:rowOff>133350</xdr:rowOff>
    </xdr:from>
    <xdr:to>
      <xdr:col>10</xdr:col>
      <xdr:colOff>319087</xdr:colOff>
      <xdr:row>22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181B90-9E6F-4919-A966-367A30C11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742950</xdr:colOff>
      <xdr:row>12</xdr:row>
      <xdr:rowOff>200025</xdr:rowOff>
    </xdr:from>
    <xdr:to>
      <xdr:col>14</xdr:col>
      <xdr:colOff>657225</xdr:colOff>
      <xdr:row>26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3B341B2-223A-454F-BF10-8DCDB2868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899D-0039-4709-AE5D-D48A42761128}">
  <dimension ref="A1:G13"/>
  <sheetViews>
    <sheetView workbookViewId="0">
      <selection sqref="A1:A10"/>
    </sheetView>
  </sheetViews>
  <sheetFormatPr defaultRowHeight="16.5" x14ac:dyDescent="0.3"/>
  <cols>
    <col min="1" max="3" width="9.625" bestFit="1" customWidth="1"/>
    <col min="4" max="4" width="10.25" bestFit="1" customWidth="1"/>
    <col min="5" max="5" width="8.5" bestFit="1" customWidth="1"/>
    <col min="6" max="6" width="14.875" bestFit="1" customWidth="1"/>
    <col min="7" max="7" width="20.625" bestFit="1" customWidth="1"/>
  </cols>
  <sheetData>
    <row r="1" spans="1:7" ht="18" thickTop="1" thickBot="1" x14ac:dyDescent="0.35">
      <c r="A1">
        <v>0.5</v>
      </c>
      <c r="B1" s="1">
        <v>0.51305500000000004</v>
      </c>
      <c r="D1">
        <f t="shared" ref="D1:D11" si="0">B1-$C$11</f>
        <v>1.0021180000000001</v>
      </c>
      <c r="F1" t="s">
        <v>0</v>
      </c>
      <c r="G1" t="s">
        <v>1</v>
      </c>
    </row>
    <row r="2" spans="1:7" ht="17.25" thickBot="1" x14ac:dyDescent="0.35">
      <c r="A2">
        <v>0.7</v>
      </c>
      <c r="B2" s="2">
        <v>0.15965499999999999</v>
      </c>
      <c r="D2">
        <f t="shared" si="0"/>
        <v>0.64871800000000002</v>
      </c>
      <c r="F2" s="5">
        <f t="shared" ref="F2:F12" si="1">A1/$F$13</f>
        <v>0.94486343888717761</v>
      </c>
      <c r="G2" s="5">
        <f t="shared" ref="G2:G11" si="2">D1*$E$11</f>
        <v>27.269033745200002</v>
      </c>
    </row>
    <row r="3" spans="1:7" ht="17.25" thickBot="1" x14ac:dyDescent="0.35">
      <c r="A3">
        <v>0.9</v>
      </c>
      <c r="B3" s="2">
        <v>-4.8426999999999998E-2</v>
      </c>
      <c r="D3">
        <f t="shared" si="0"/>
        <v>0.44063600000000003</v>
      </c>
      <c r="F3" s="5">
        <f t="shared" si="1"/>
        <v>1.3228088144420487</v>
      </c>
      <c r="G3" s="5">
        <f t="shared" si="2"/>
        <v>17.652524985199999</v>
      </c>
    </row>
    <row r="4" spans="1:7" ht="17.25" thickBot="1" x14ac:dyDescent="0.35">
      <c r="A4">
        <v>1</v>
      </c>
      <c r="B4" s="2">
        <v>-0.120795</v>
      </c>
      <c r="D4">
        <f t="shared" si="0"/>
        <v>0.36826800000000004</v>
      </c>
      <c r="F4" s="5">
        <f t="shared" si="1"/>
        <v>1.7007541899969199</v>
      </c>
      <c r="G4" s="5">
        <f t="shared" si="2"/>
        <v>11.990322450400001</v>
      </c>
    </row>
    <row r="5" spans="1:7" ht="17.25" thickBot="1" x14ac:dyDescent="0.35">
      <c r="A5">
        <v>1.3</v>
      </c>
      <c r="B5" s="2">
        <v>-0.276175</v>
      </c>
      <c r="D5">
        <f t="shared" si="0"/>
        <v>0.21288800000000002</v>
      </c>
      <c r="F5" s="5">
        <f t="shared" si="1"/>
        <v>1.8897268777743552</v>
      </c>
      <c r="G5" s="5">
        <f t="shared" si="2"/>
        <v>10.021087855200001</v>
      </c>
    </row>
    <row r="6" spans="1:7" ht="17.25" thickBot="1" x14ac:dyDescent="0.35">
      <c r="A6">
        <v>1.6</v>
      </c>
      <c r="B6" s="2">
        <v>-0.36157800000000001</v>
      </c>
      <c r="D6">
        <f t="shared" si="0"/>
        <v>0.12748500000000001</v>
      </c>
      <c r="F6" s="5">
        <f t="shared" si="1"/>
        <v>2.4566449411066618</v>
      </c>
      <c r="G6" s="5">
        <f t="shared" si="2"/>
        <v>5.7929805232000007</v>
      </c>
    </row>
    <row r="7" spans="1:7" ht="17.25" thickBot="1" x14ac:dyDescent="0.35">
      <c r="A7">
        <v>1.9</v>
      </c>
      <c r="B7" s="2">
        <v>-0.41500700000000001</v>
      </c>
      <c r="D7">
        <f t="shared" si="0"/>
        <v>7.4056000000000011E-2</v>
      </c>
      <c r="F7" s="5">
        <f t="shared" si="1"/>
        <v>3.0235630044389685</v>
      </c>
      <c r="G7" s="5">
        <f t="shared" si="2"/>
        <v>3.4690453290000005</v>
      </c>
    </row>
    <row r="8" spans="1:7" ht="17.25" thickBot="1" x14ac:dyDescent="0.35">
      <c r="A8">
        <v>2.5</v>
      </c>
      <c r="B8" s="2">
        <v>-0.46592</v>
      </c>
      <c r="D8">
        <f t="shared" si="0"/>
        <v>2.3143000000000025E-2</v>
      </c>
      <c r="F8" s="5">
        <f t="shared" si="1"/>
        <v>3.5904810677712748</v>
      </c>
      <c r="G8" s="5">
        <f t="shared" si="2"/>
        <v>2.0151674384000002</v>
      </c>
    </row>
    <row r="9" spans="1:7" ht="17.25" thickBot="1" x14ac:dyDescent="0.35">
      <c r="A9">
        <v>2.8</v>
      </c>
      <c r="B9" s="2">
        <v>-0.47709400000000002</v>
      </c>
      <c r="D9">
        <f t="shared" si="0"/>
        <v>1.1969000000000007E-2</v>
      </c>
      <c r="F9" s="5">
        <f t="shared" si="1"/>
        <v>4.7243171944358879</v>
      </c>
      <c r="G9" s="5">
        <f t="shared" si="2"/>
        <v>0.62975343020000074</v>
      </c>
    </row>
    <row r="10" spans="1:7" ht="17.25" thickBot="1" x14ac:dyDescent="0.35">
      <c r="A10">
        <v>3.9</v>
      </c>
      <c r="B10" s="2">
        <v>-0.49061199999999999</v>
      </c>
      <c r="D10">
        <f t="shared" si="0"/>
        <v>-1.5489999999999671E-3</v>
      </c>
      <c r="F10" s="5">
        <f t="shared" si="1"/>
        <v>5.2912352577681947</v>
      </c>
      <c r="G10" s="5">
        <f t="shared" si="2"/>
        <v>0.32569324660000021</v>
      </c>
    </row>
    <row r="11" spans="1:7" ht="17.25" thickBot="1" x14ac:dyDescent="0.35">
      <c r="B11" s="4">
        <v>-0.48906300000000003</v>
      </c>
      <c r="C11" s="4">
        <v>-0.48906300000000003</v>
      </c>
      <c r="D11">
        <f t="shared" si="0"/>
        <v>0</v>
      </c>
      <c r="E11">
        <v>27.211400000000001</v>
      </c>
      <c r="F11" s="5">
        <f t="shared" si="1"/>
        <v>7.3699348233199853</v>
      </c>
      <c r="G11" s="5">
        <f t="shared" si="2"/>
        <v>-4.2150458599999108E-2</v>
      </c>
    </row>
    <row r="12" spans="1:7" ht="17.25" thickTop="1" x14ac:dyDescent="0.3">
      <c r="F12" s="5">
        <f t="shared" si="1"/>
        <v>0</v>
      </c>
      <c r="G12" s="5">
        <v>0</v>
      </c>
    </row>
    <row r="13" spans="1:7" x14ac:dyDescent="0.3">
      <c r="F13">
        <v>0.52917700000000001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6B48-1C93-41CD-BAFB-4746E08F74F7}">
  <dimension ref="A1:G13"/>
  <sheetViews>
    <sheetView workbookViewId="0">
      <selection activeCell="F1" sqref="F1"/>
    </sheetView>
  </sheetViews>
  <sheetFormatPr defaultRowHeight="16.5" x14ac:dyDescent="0.3"/>
  <cols>
    <col min="2" max="3" width="9.625" bestFit="1" customWidth="1"/>
    <col min="4" max="4" width="10.25" bestFit="1" customWidth="1"/>
    <col min="5" max="5" width="8.5" bestFit="1" customWidth="1"/>
    <col min="6" max="6" width="14.875" bestFit="1" customWidth="1"/>
    <col min="7" max="7" width="20.625" bestFit="1" customWidth="1"/>
  </cols>
  <sheetData>
    <row r="1" spans="1:7" ht="18" thickTop="1" thickBot="1" x14ac:dyDescent="0.35">
      <c r="A1">
        <v>0.5</v>
      </c>
      <c r="B1" s="1">
        <v>-0.40196799999999999</v>
      </c>
      <c r="D1">
        <f t="shared" ref="D1:D11" si="0">B1-$C$11</f>
        <v>8.7095000000000034E-2</v>
      </c>
      <c r="F1" t="s">
        <v>0</v>
      </c>
      <c r="G1" t="s">
        <v>1</v>
      </c>
    </row>
    <row r="2" spans="1:7" ht="17.25" thickBot="1" x14ac:dyDescent="0.35">
      <c r="A2">
        <v>0.7</v>
      </c>
      <c r="B2" s="2">
        <v>-0.551315</v>
      </c>
      <c r="D2">
        <f t="shared" si="0"/>
        <v>-6.2251999999999974E-2</v>
      </c>
      <c r="F2" s="5">
        <f t="shared" ref="F2:F12" si="1">A1/$F$13</f>
        <v>0.94486343888717761</v>
      </c>
      <c r="G2" s="5">
        <f t="shared" ref="G2:G11" si="2">D1*$E$11</f>
        <v>2.369976883000001</v>
      </c>
    </row>
    <row r="3" spans="1:7" ht="17.25" thickBot="1" x14ac:dyDescent="0.35">
      <c r="A3">
        <v>0.9</v>
      </c>
      <c r="B3" s="2">
        <v>-0.59220099999999998</v>
      </c>
      <c r="D3">
        <f t="shared" si="0"/>
        <v>-0.10313799999999995</v>
      </c>
      <c r="F3" s="5">
        <f t="shared" si="1"/>
        <v>1.3228088144420487</v>
      </c>
      <c r="G3" s="5">
        <f t="shared" si="2"/>
        <v>-1.6939640727999994</v>
      </c>
    </row>
    <row r="4" spans="1:7" ht="17.25" thickBot="1" x14ac:dyDescent="0.35">
      <c r="A4">
        <v>1</v>
      </c>
      <c r="B4" s="2">
        <v>-0.59579899999999997</v>
      </c>
      <c r="D4">
        <f t="shared" si="0"/>
        <v>-0.10673599999999994</v>
      </c>
      <c r="F4" s="5">
        <f t="shared" si="1"/>
        <v>1.7007541899969199</v>
      </c>
      <c r="G4" s="5">
        <f t="shared" si="2"/>
        <v>-2.8065293731999987</v>
      </c>
    </row>
    <row r="5" spans="1:7" ht="17.25" thickBot="1" x14ac:dyDescent="0.35">
      <c r="A5">
        <v>1.3</v>
      </c>
      <c r="B5" s="2">
        <v>-0.58997200000000005</v>
      </c>
      <c r="D5">
        <f t="shared" si="0"/>
        <v>-0.10090900000000003</v>
      </c>
      <c r="F5" s="5">
        <f t="shared" si="1"/>
        <v>1.8897268777743552</v>
      </c>
      <c r="G5" s="5">
        <f t="shared" si="2"/>
        <v>-2.9044359903999983</v>
      </c>
    </row>
    <row r="6" spans="1:7" ht="17.25" thickBot="1" x14ac:dyDescent="0.35">
      <c r="A6">
        <v>1.6</v>
      </c>
      <c r="B6" s="3">
        <v>-0.57064400000000004</v>
      </c>
      <c r="D6">
        <f t="shared" si="0"/>
        <v>-8.1581000000000015E-2</v>
      </c>
      <c r="F6" s="5">
        <f t="shared" si="1"/>
        <v>2.4566449411066618</v>
      </c>
      <c r="G6" s="5">
        <f t="shared" si="2"/>
        <v>-2.7458751626000009</v>
      </c>
    </row>
    <row r="7" spans="1:7" ht="17.25" thickBot="1" x14ac:dyDescent="0.35">
      <c r="A7">
        <v>1.9</v>
      </c>
      <c r="B7" s="2">
        <v>-0.55246200000000001</v>
      </c>
      <c r="D7">
        <f t="shared" si="0"/>
        <v>-6.3398999999999983E-2</v>
      </c>
      <c r="F7" s="5">
        <f t="shared" si="1"/>
        <v>3.0235630044389685</v>
      </c>
      <c r="G7" s="5">
        <f t="shared" si="2"/>
        <v>-2.2199332234000004</v>
      </c>
    </row>
    <row r="8" spans="1:7" ht="17.25" thickBot="1" x14ac:dyDescent="0.35">
      <c r="A8">
        <v>2.5</v>
      </c>
      <c r="B8" s="2">
        <v>-0.52399200000000001</v>
      </c>
      <c r="D8">
        <f t="shared" si="0"/>
        <v>-3.4928999999999988E-2</v>
      </c>
      <c r="F8" s="5">
        <f t="shared" si="1"/>
        <v>3.5904810677712748</v>
      </c>
      <c r="G8" s="5">
        <f t="shared" si="2"/>
        <v>-1.7251755485999996</v>
      </c>
    </row>
    <row r="9" spans="1:7" ht="17.25" thickBot="1" x14ac:dyDescent="0.35">
      <c r="A9">
        <v>2.8</v>
      </c>
      <c r="B9" s="2">
        <v>-0.51387799999999995</v>
      </c>
      <c r="D9">
        <f t="shared" si="0"/>
        <v>-2.481499999999992E-2</v>
      </c>
      <c r="F9" s="5">
        <f t="shared" si="1"/>
        <v>4.7243171944358879</v>
      </c>
      <c r="G9" s="5">
        <f t="shared" si="2"/>
        <v>-0.95046699059999973</v>
      </c>
    </row>
    <row r="10" spans="1:7" ht="17.25" thickBot="1" x14ac:dyDescent="0.35">
      <c r="A10">
        <v>3.9</v>
      </c>
      <c r="B10" s="2">
        <v>-0.49576999999999999</v>
      </c>
      <c r="D10">
        <f t="shared" si="0"/>
        <v>-6.706999999999963E-3</v>
      </c>
      <c r="F10" s="5">
        <f t="shared" si="1"/>
        <v>5.2912352577681947</v>
      </c>
      <c r="G10" s="5">
        <f t="shared" si="2"/>
        <v>-0.67525089099999791</v>
      </c>
    </row>
    <row r="11" spans="1:7" ht="17.25" thickBot="1" x14ac:dyDescent="0.35">
      <c r="B11" s="4">
        <v>-0.48906300000000003</v>
      </c>
      <c r="C11" s="4">
        <v>-0.48906300000000003</v>
      </c>
      <c r="D11">
        <f t="shared" si="0"/>
        <v>0</v>
      </c>
      <c r="E11">
        <v>27.211400000000001</v>
      </c>
      <c r="F11" s="5">
        <f t="shared" si="1"/>
        <v>7.3699348233199853</v>
      </c>
      <c r="G11" s="5">
        <f t="shared" si="2"/>
        <v>-0.182506859799999</v>
      </c>
    </row>
    <row r="12" spans="1:7" ht="17.25" thickTop="1" x14ac:dyDescent="0.3">
      <c r="F12" s="5">
        <f t="shared" si="1"/>
        <v>0</v>
      </c>
      <c r="G12" s="5">
        <v>0</v>
      </c>
    </row>
    <row r="13" spans="1:7" x14ac:dyDescent="0.3">
      <c r="F13">
        <v>0.52917700000000001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352A-BF99-44FE-8FD0-7365DA92CF5F}">
  <dimension ref="A1:I23"/>
  <sheetViews>
    <sheetView tabSelected="1" workbookViewId="0">
      <selection activeCell="N28" sqref="N28"/>
    </sheetView>
  </sheetViews>
  <sheetFormatPr defaultRowHeight="16.5" x14ac:dyDescent="0.3"/>
  <cols>
    <col min="1" max="1" width="15.875" bestFit="1" customWidth="1"/>
    <col min="2" max="2" width="10.25" bestFit="1" customWidth="1"/>
    <col min="3" max="3" width="13.625" bestFit="1" customWidth="1"/>
    <col min="4" max="4" width="14.875" bestFit="1" customWidth="1"/>
    <col min="5" max="5" width="12.75" bestFit="1" customWidth="1"/>
    <col min="6" max="6" width="10.25" bestFit="1" customWidth="1"/>
    <col min="7" max="7" width="12.75" bestFit="1" customWidth="1"/>
    <col min="8" max="8" width="9.5" bestFit="1" customWidth="1"/>
    <col min="9" max="9" width="10.25" bestFit="1" customWidth="1"/>
    <col min="10" max="10" width="14.875" bestFit="1" customWidth="1"/>
  </cols>
  <sheetData>
    <row r="1" spans="1:9" x14ac:dyDescent="0.3">
      <c r="H1" t="s">
        <v>5</v>
      </c>
    </row>
    <row r="2" spans="1:9" x14ac:dyDescent="0.3">
      <c r="A2" t="s">
        <v>3</v>
      </c>
      <c r="B2">
        <v>0.50745899999999999</v>
      </c>
      <c r="C2">
        <f>$D$23*B2</f>
        <v>13.8086698326</v>
      </c>
      <c r="D2" s="5">
        <v>0.5</v>
      </c>
      <c r="E2" s="5">
        <v>1.058354</v>
      </c>
      <c r="F2" s="5">
        <v>-2.4194439999999999</v>
      </c>
      <c r="G2" s="5">
        <f>SUM(E2:F2)</f>
        <v>-1.3610899999999999</v>
      </c>
      <c r="H2" s="5">
        <v>0.959121</v>
      </c>
      <c r="I2" s="5">
        <f>SUM(G2:H2)</f>
        <v>-0.40196899999999991</v>
      </c>
    </row>
    <row r="3" spans="1:9" x14ac:dyDescent="0.3">
      <c r="A3" t="s">
        <v>4</v>
      </c>
      <c r="B3">
        <v>-0.99652200000000002</v>
      </c>
      <c r="C3">
        <f t="shared" ref="C3:C4" si="0">$D$23*B3</f>
        <v>-27.116758750800003</v>
      </c>
      <c r="D3" s="5">
        <v>0.7</v>
      </c>
      <c r="E3" s="5">
        <v>0.75596699999999994</v>
      </c>
      <c r="F3" s="5">
        <v>-2.0920730000000001</v>
      </c>
      <c r="G3" s="5">
        <f t="shared" ref="G3:G11" si="1">SUM(E3:F3)</f>
        <v>-1.336106</v>
      </c>
      <c r="H3" s="5">
        <v>0.78479100000000002</v>
      </c>
      <c r="I3" s="5">
        <f t="shared" ref="I3:I11" si="2">SUM(G3:H3)</f>
        <v>-0.551315</v>
      </c>
    </row>
    <row r="4" spans="1:9" x14ac:dyDescent="0.3">
      <c r="A4" t="s">
        <v>2</v>
      </c>
      <c r="B4">
        <f>SUM(B2:B3)</f>
        <v>-0.48906300000000003</v>
      </c>
      <c r="C4">
        <f t="shared" si="0"/>
        <v>-13.308088918200001</v>
      </c>
      <c r="D4" s="5">
        <v>0.9</v>
      </c>
      <c r="E4" s="5">
        <v>0.58797500000000003</v>
      </c>
      <c r="F4" s="5">
        <v>-1.8401670000000001</v>
      </c>
      <c r="G4" s="5">
        <f t="shared" si="1"/>
        <v>-1.252192</v>
      </c>
      <c r="H4" s="5">
        <v>0.65999099999999999</v>
      </c>
      <c r="I4" s="5">
        <f t="shared" si="2"/>
        <v>-0.59220099999999998</v>
      </c>
    </row>
    <row r="5" spans="1:9" x14ac:dyDescent="0.3">
      <c r="D5" s="5">
        <v>1</v>
      </c>
      <c r="E5" s="5">
        <v>0.52917700000000001</v>
      </c>
      <c r="F5" s="5">
        <v>-1.73376</v>
      </c>
      <c r="G5" s="5">
        <f t="shared" si="1"/>
        <v>-1.204583</v>
      </c>
      <c r="H5" s="5">
        <v>0.60878399999999999</v>
      </c>
      <c r="I5" s="5">
        <f t="shared" si="2"/>
        <v>-0.59579899999999997</v>
      </c>
    </row>
    <row r="6" spans="1:9" x14ac:dyDescent="0.3">
      <c r="D6" s="5">
        <v>1.3</v>
      </c>
      <c r="E6" s="5">
        <v>0.407059</v>
      </c>
      <c r="F6" s="5">
        <v>-1.5154589999999999</v>
      </c>
      <c r="G6" s="5">
        <f t="shared" si="1"/>
        <v>-1.1083999999999998</v>
      </c>
      <c r="H6" s="5">
        <v>0.518428</v>
      </c>
      <c r="I6" s="5">
        <f t="shared" si="2"/>
        <v>-0.58997199999999983</v>
      </c>
    </row>
    <row r="7" spans="1:9" x14ac:dyDescent="0.3">
      <c r="D7" s="5">
        <v>1.6</v>
      </c>
      <c r="E7" s="5">
        <v>0.33073599999999997</v>
      </c>
      <c r="F7" s="5">
        <v>-1.364409</v>
      </c>
      <c r="G7" s="5">
        <f t="shared" si="1"/>
        <v>-1.0336730000000001</v>
      </c>
      <c r="H7" s="5">
        <v>0.46302900000000002</v>
      </c>
      <c r="I7" s="5">
        <f t="shared" si="2"/>
        <v>-0.57064400000000004</v>
      </c>
    </row>
    <row r="8" spans="1:9" x14ac:dyDescent="0.3">
      <c r="D8" s="5">
        <v>1.9</v>
      </c>
      <c r="E8" s="5">
        <v>0.27851399999999998</v>
      </c>
      <c r="F8" s="5">
        <v>-1.2750710000000001</v>
      </c>
      <c r="G8" s="5">
        <f t="shared" si="1"/>
        <v>-0.99655700000000014</v>
      </c>
      <c r="H8" s="5">
        <v>0.44409500000000002</v>
      </c>
      <c r="I8" s="5">
        <f t="shared" si="2"/>
        <v>-0.55246200000000012</v>
      </c>
    </row>
    <row r="9" spans="1:9" x14ac:dyDescent="0.3">
      <c r="D9" s="5">
        <v>2.5</v>
      </c>
      <c r="E9" s="5">
        <v>0.211671</v>
      </c>
      <c r="F9" s="5">
        <v>-1.182029</v>
      </c>
      <c r="G9" s="5">
        <f t="shared" si="1"/>
        <v>-0.97035800000000005</v>
      </c>
      <c r="H9" s="5">
        <v>0.44636599999999999</v>
      </c>
      <c r="I9" s="5">
        <f t="shared" si="2"/>
        <v>-0.52399200000000001</v>
      </c>
    </row>
    <row r="10" spans="1:9" x14ac:dyDescent="0.3">
      <c r="D10" s="5">
        <v>2.8</v>
      </c>
      <c r="E10" s="5">
        <v>0.18899199999999999</v>
      </c>
      <c r="F10" s="5">
        <v>-1.159656</v>
      </c>
      <c r="G10" s="5">
        <f t="shared" si="1"/>
        <v>-0.97066399999999997</v>
      </c>
      <c r="H10" s="5">
        <v>0.45678600000000003</v>
      </c>
      <c r="I10" s="5">
        <f t="shared" si="2"/>
        <v>-0.51387799999999995</v>
      </c>
    </row>
    <row r="11" spans="1:9" ht="17.25" thickBot="1" x14ac:dyDescent="0.35">
      <c r="D11" s="6">
        <v>3.9</v>
      </c>
      <c r="E11" s="6">
        <v>0.135686</v>
      </c>
      <c r="F11" s="6">
        <v>-1.1313580000000001</v>
      </c>
      <c r="G11" s="6">
        <f t="shared" si="1"/>
        <v>-0.99567200000000011</v>
      </c>
      <c r="H11" s="5">
        <v>0.49990200000000001</v>
      </c>
      <c r="I11" s="5">
        <f t="shared" si="2"/>
        <v>-0.4957700000000001</v>
      </c>
    </row>
    <row r="12" spans="1:9" x14ac:dyDescent="0.3">
      <c r="D12" s="7" t="s">
        <v>0</v>
      </c>
      <c r="E12" s="8" t="s">
        <v>6</v>
      </c>
      <c r="F12" s="8" t="s">
        <v>7</v>
      </c>
      <c r="G12" s="9" t="s">
        <v>8</v>
      </c>
    </row>
    <row r="13" spans="1:9" x14ac:dyDescent="0.3">
      <c r="D13" s="10">
        <f>D2/0.529177</f>
        <v>0.94486343888717761</v>
      </c>
      <c r="E13" s="5">
        <f>H2*$D$23-$C$2</f>
        <v>12.290355346800002</v>
      </c>
      <c r="F13" s="5">
        <f>G2*$D$23-$C$3</f>
        <v>-9.9204056751999943</v>
      </c>
      <c r="G13" s="11">
        <f>I2*$D$23-$C$4</f>
        <v>2.3699496716000024</v>
      </c>
    </row>
    <row r="14" spans="1:9" x14ac:dyDescent="0.3">
      <c r="D14" s="10">
        <f>D3/0.529177</f>
        <v>1.3228088144420487</v>
      </c>
      <c r="E14" s="5">
        <f t="shared" ref="E14:E22" si="3">H3*$D$23-$C$2</f>
        <v>7.5465919848000027</v>
      </c>
      <c r="F14" s="5">
        <f t="shared" ref="F14:F22" si="4">G3*$D$23-$C$3</f>
        <v>-9.2405560576000028</v>
      </c>
      <c r="G14" s="11">
        <f t="shared" ref="G14:G22" si="5">I3*$D$23-$C$4</f>
        <v>-1.6939640728000001</v>
      </c>
    </row>
    <row r="15" spans="1:9" x14ac:dyDescent="0.3">
      <c r="D15" s="10">
        <f>D4/0.529177</f>
        <v>1.7007541899969199</v>
      </c>
      <c r="E15" s="5">
        <f t="shared" si="3"/>
        <v>4.1506092647999999</v>
      </c>
      <c r="F15" s="5">
        <f t="shared" si="4"/>
        <v>-6.9571386379999964</v>
      </c>
      <c r="G15" s="11">
        <f t="shared" si="5"/>
        <v>-2.8065293731999983</v>
      </c>
    </row>
    <row r="16" spans="1:9" x14ac:dyDescent="0.3">
      <c r="D16" s="10">
        <f>D5/0.529177</f>
        <v>1.8897268777743552</v>
      </c>
      <c r="E16" s="5">
        <f t="shared" si="3"/>
        <v>2.757195105000001</v>
      </c>
      <c r="F16" s="5">
        <f t="shared" si="4"/>
        <v>-5.6616310953999971</v>
      </c>
      <c r="G16" s="11">
        <f t="shared" si="5"/>
        <v>-2.9044359903999979</v>
      </c>
    </row>
    <row r="17" spans="4:7" x14ac:dyDescent="0.3">
      <c r="D17" s="10">
        <f>D6/0.529177</f>
        <v>2.4566449411066618</v>
      </c>
      <c r="E17" s="5">
        <f t="shared" si="3"/>
        <v>0.29848184660000143</v>
      </c>
      <c r="F17" s="5">
        <f t="shared" si="4"/>
        <v>-3.0443570091999952</v>
      </c>
      <c r="G17" s="11">
        <f t="shared" si="5"/>
        <v>-2.7458751625999955</v>
      </c>
    </row>
    <row r="18" spans="4:7" x14ac:dyDescent="0.3">
      <c r="D18" s="10">
        <f>D7/0.529177</f>
        <v>3.0235630044389685</v>
      </c>
      <c r="E18" s="5">
        <f t="shared" si="3"/>
        <v>-1.2090025019999988</v>
      </c>
      <c r="F18" s="5">
        <f t="shared" si="4"/>
        <v>-1.0109307214000012</v>
      </c>
      <c r="G18" s="11">
        <f t="shared" si="5"/>
        <v>-2.2199332234</v>
      </c>
    </row>
    <row r="19" spans="4:7" x14ac:dyDescent="0.3">
      <c r="D19" s="10">
        <f>D8/0.529177</f>
        <v>3.5904810677712748</v>
      </c>
      <c r="E19" s="5">
        <f t="shared" si="3"/>
        <v>-1.7242231495999985</v>
      </c>
      <c r="F19" s="5">
        <f t="shared" si="4"/>
        <v>-9.523990000026572E-4</v>
      </c>
      <c r="G19" s="11">
        <f t="shared" si="5"/>
        <v>-1.7251755486000029</v>
      </c>
    </row>
    <row r="20" spans="4:7" x14ac:dyDescent="0.3">
      <c r="D20" s="10">
        <f>D9/0.529177</f>
        <v>4.7243171944358879</v>
      </c>
      <c r="E20" s="5">
        <f t="shared" si="3"/>
        <v>-1.6624260601999996</v>
      </c>
      <c r="F20" s="5">
        <f t="shared" si="4"/>
        <v>0.71195906959999888</v>
      </c>
      <c r="G20" s="11">
        <f t="shared" si="5"/>
        <v>-0.95046699060000073</v>
      </c>
    </row>
    <row r="21" spans="4:7" x14ac:dyDescent="0.3">
      <c r="D21" s="10">
        <f>D10/0.529177</f>
        <v>5.2912352577681947</v>
      </c>
      <c r="E21" s="5">
        <f t="shared" si="3"/>
        <v>-1.3788832721999977</v>
      </c>
      <c r="F21" s="5">
        <f t="shared" si="4"/>
        <v>0.70363238120000204</v>
      </c>
      <c r="G21" s="11">
        <f t="shared" si="5"/>
        <v>-0.67525089099999747</v>
      </c>
    </row>
    <row r="22" spans="4:7" ht="17.25" thickBot="1" x14ac:dyDescent="0.35">
      <c r="D22" s="13">
        <f>D11/0.529177</f>
        <v>7.3699348233199853</v>
      </c>
      <c r="E22" s="12">
        <f t="shared" si="3"/>
        <v>-0.20563654979999946</v>
      </c>
      <c r="F22" s="5">
        <f t="shared" si="4"/>
        <v>2.3129689999997538E-2</v>
      </c>
      <c r="G22" s="11">
        <f t="shared" si="5"/>
        <v>-0.18250685980000192</v>
      </c>
    </row>
    <row r="23" spans="4:7" x14ac:dyDescent="0.3">
      <c r="D23">
        <v>27.211400000000001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장재형</dc:creator>
  <cp:lastModifiedBy>장재형</cp:lastModifiedBy>
  <dcterms:created xsi:type="dcterms:W3CDTF">2020-04-06T01:50:37Z</dcterms:created>
  <dcterms:modified xsi:type="dcterms:W3CDTF">2020-04-06T02:56:16Z</dcterms:modified>
</cp:coreProperties>
</file>