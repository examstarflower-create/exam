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Nagant\Desktop\PH_EXP\Exp12\data\"/>
    </mc:Choice>
  </mc:AlternateContent>
  <xr:revisionPtr revIDLastSave="0" documentId="13_ncr:1_{ECF79C83-9F45-460C-AEC1-38EB68D2C3DD}" xr6:coauthVersionLast="45" xr6:coauthVersionMax="45" xr10:uidLastSave="{00000000-0000-0000-0000-000000000000}"/>
  <bookViews>
    <workbookView xWindow="1536" yWindow="600" windowWidth="17280" windowHeight="123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E10" i="1"/>
  <c r="E11" i="1"/>
  <c r="E12" i="1"/>
  <c r="E13" i="1"/>
  <c r="E9" i="1"/>
</calcChain>
</file>

<file path=xl/sharedStrings.xml><?xml version="1.0" encoding="utf-8"?>
<sst xmlns="http://schemas.openxmlformats.org/spreadsheetml/2006/main" count="17" uniqueCount="17">
  <si>
    <t>12. Measuring speed of light</t>
    <phoneticPr fontId="2" type="noConversion"/>
  </si>
  <si>
    <t>Length of optical fiber</t>
    <phoneticPr fontId="2" type="noConversion"/>
  </si>
  <si>
    <t>Short fiber</t>
    <phoneticPr fontId="2" type="noConversion"/>
  </si>
  <si>
    <t>Long fiber</t>
    <phoneticPr fontId="2" type="noConversion"/>
  </si>
  <si>
    <t>length (cm)</t>
    <phoneticPr fontId="2" type="noConversion"/>
  </si>
  <si>
    <t>Diameter (cm)</t>
    <phoneticPr fontId="2" type="noConversion"/>
  </si>
  <si>
    <t>N</t>
    <phoneticPr fontId="2" type="noConversion"/>
  </si>
  <si>
    <t>Trial 1</t>
    <phoneticPr fontId="2" type="noConversion"/>
  </si>
  <si>
    <t>Trial 2</t>
    <phoneticPr fontId="2" type="noConversion"/>
  </si>
  <si>
    <t>Trial 3</t>
  </si>
  <si>
    <t>Trial 4</t>
  </si>
  <si>
    <t>Trial 5</t>
  </si>
  <si>
    <t>Delay pulse (ns)</t>
    <phoneticPr fontId="2" type="noConversion"/>
  </si>
  <si>
    <t>Reference pulse (ns)</t>
    <phoneticPr fontId="2" type="noConversion"/>
  </si>
  <si>
    <t>Time difference (ns)</t>
    <phoneticPr fontId="2" type="noConversion"/>
  </si>
  <si>
    <t>Experimental results of the reference and delay pulse</t>
    <phoneticPr fontId="2" type="noConversion"/>
  </si>
  <si>
    <t>굴절률 : 1.495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</si>
</sst>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4" workbookViewId="0">
      <selection activeCell="E17" sqref="E17"/>
    </sheetView>
  </sheetViews>
  <sheetFormatPr defaultRowHeight="17.399999999999999" x14ac:dyDescent="0.4"/>
  <cols>
    <col min="1" max="1" width="18.5" customWidth="1"/>
    <col min="2" max="2" width="19.69921875" bestFit="1" customWidth="1"/>
    <col min="3" max="4" width="18.5" customWidth="1"/>
    <col min="5" max="5" width="11.5" bestFit="1" customWidth="1"/>
  </cols>
  <sheetData>
    <row r="1" spans="1:5" ht="20.25" customHeight="1" x14ac:dyDescent="0.4">
      <c r="A1" s="3" t="s">
        <v>0</v>
      </c>
      <c r="B1" s="3"/>
      <c r="C1" s="3"/>
      <c r="D1" s="3"/>
    </row>
    <row r="2" spans="1:5" x14ac:dyDescent="0.4">
      <c r="A2" s="4" t="s">
        <v>1</v>
      </c>
      <c r="B2" s="4"/>
      <c r="C2" s="4"/>
      <c r="D2" s="4"/>
    </row>
    <row r="3" spans="1:5" x14ac:dyDescent="0.4">
      <c r="A3" s="5" t="s">
        <v>2</v>
      </c>
      <c r="B3" s="5"/>
      <c r="C3" s="5" t="s">
        <v>3</v>
      </c>
      <c r="D3" s="5"/>
    </row>
    <row r="4" spans="1:5" x14ac:dyDescent="0.4">
      <c r="A4" s="1" t="s">
        <v>4</v>
      </c>
      <c r="B4" s="1">
        <v>25.7</v>
      </c>
      <c r="C4" s="1" t="s">
        <v>5</v>
      </c>
      <c r="D4" s="1">
        <v>16.5</v>
      </c>
    </row>
    <row r="5" spans="1:5" x14ac:dyDescent="0.4">
      <c r="A5" s="1"/>
      <c r="B5" s="1"/>
      <c r="C5" s="1" t="s">
        <v>6</v>
      </c>
      <c r="D5" s="1">
        <v>36</v>
      </c>
    </row>
    <row r="6" spans="1:5" x14ac:dyDescent="0.4">
      <c r="A6" s="1"/>
      <c r="B6" s="1"/>
      <c r="C6" s="1"/>
      <c r="D6" s="1"/>
    </row>
    <row r="7" spans="1:5" x14ac:dyDescent="0.4">
      <c r="A7" s="4" t="s">
        <v>15</v>
      </c>
      <c r="B7" s="4"/>
      <c r="C7" s="4"/>
      <c r="D7" s="4"/>
    </row>
    <row r="8" spans="1:5" x14ac:dyDescent="0.4">
      <c r="B8" s="1" t="s">
        <v>13</v>
      </c>
      <c r="C8" s="1" t="s">
        <v>12</v>
      </c>
      <c r="D8" s="1" t="s">
        <v>14</v>
      </c>
    </row>
    <row r="9" spans="1:5" x14ac:dyDescent="0.4">
      <c r="A9" s="1" t="s">
        <v>7</v>
      </c>
      <c r="B9" s="1">
        <v>570</v>
      </c>
      <c r="C9" s="1">
        <v>649</v>
      </c>
      <c r="D9" s="1">
        <v>78.599999999999994</v>
      </c>
      <c r="E9">
        <f>37.04/D9*10^8</f>
        <v>47124681.933842242</v>
      </c>
    </row>
    <row r="10" spans="1:5" x14ac:dyDescent="0.4">
      <c r="A10" s="1" t="s">
        <v>8</v>
      </c>
      <c r="B10" s="1">
        <v>217</v>
      </c>
      <c r="C10" s="1">
        <v>297</v>
      </c>
      <c r="D10" s="1">
        <v>79.400000000000006</v>
      </c>
      <c r="E10">
        <f t="shared" ref="E10:E13" si="0">37.04/D10*10^8</f>
        <v>46649874.055415615</v>
      </c>
    </row>
    <row r="11" spans="1:5" x14ac:dyDescent="0.4">
      <c r="A11" s="1" t="s">
        <v>9</v>
      </c>
      <c r="B11" s="1">
        <v>-235</v>
      </c>
      <c r="C11" s="1">
        <v>-148</v>
      </c>
      <c r="D11" s="1">
        <v>87.4</v>
      </c>
      <c r="E11">
        <f t="shared" si="0"/>
        <v>42379862.700228833</v>
      </c>
    </row>
    <row r="12" spans="1:5" x14ac:dyDescent="0.4">
      <c r="A12" s="1" t="s">
        <v>10</v>
      </c>
      <c r="B12" s="1">
        <v>436</v>
      </c>
      <c r="C12" s="1">
        <v>511</v>
      </c>
      <c r="D12" s="1">
        <v>75.400000000000006</v>
      </c>
      <c r="E12">
        <f t="shared" si="0"/>
        <v>49124668.435013257</v>
      </c>
    </row>
    <row r="13" spans="1:5" x14ac:dyDescent="0.4">
      <c r="A13" s="1" t="s">
        <v>11</v>
      </c>
      <c r="B13" s="1">
        <v>-137</v>
      </c>
      <c r="C13" s="1">
        <v>-48.4</v>
      </c>
      <c r="D13" s="1">
        <v>89.4</v>
      </c>
      <c r="E13">
        <f t="shared" si="0"/>
        <v>41431767.337807603</v>
      </c>
    </row>
    <row r="14" spans="1:5" x14ac:dyDescent="0.4">
      <c r="E14">
        <f>AVERAGE(E9:E13)</f>
        <v>45342170.892461509</v>
      </c>
    </row>
    <row r="15" spans="1:5" x14ac:dyDescent="0.4">
      <c r="A15" s="2" t="s">
        <v>16</v>
      </c>
      <c r="E15">
        <f>MAX(E9:E13)-E14</f>
        <v>3782497.5425517485</v>
      </c>
    </row>
    <row r="16" spans="1:5" x14ac:dyDescent="0.4">
      <c r="E16">
        <f>MIN(E9:E13)-E14</f>
        <v>-3910403.5546539053</v>
      </c>
    </row>
  </sheetData>
  <mergeCells count="5">
    <mergeCell ref="A1:D1"/>
    <mergeCell ref="A2:D2"/>
    <mergeCell ref="A7:D7"/>
    <mergeCell ref="A3:B3"/>
    <mergeCell ref="C3:D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장재형</cp:lastModifiedBy>
  <dcterms:created xsi:type="dcterms:W3CDTF">2020-06-08T01:47:39Z</dcterms:created>
  <dcterms:modified xsi:type="dcterms:W3CDTF">2020-06-17T12:55:00Z</dcterms:modified>
</cp:coreProperties>
</file>