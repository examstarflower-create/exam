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guddl\OneDrive\바탕 화면\20200548 일물실\5주\"/>
    </mc:Choice>
  </mc:AlternateContent>
  <xr:revisionPtr revIDLastSave="0" documentId="13_ncr:1_{D9E587E3-39A9-4DF5-8D47-68403FE2BD95}" xr6:coauthVersionLast="45" xr6:coauthVersionMax="45" xr10:uidLastSave="{00000000-0000-0000-0000-000000000000}"/>
  <bookViews>
    <workbookView xWindow="345" yWindow="2145" windowWidth="18900" windowHeight="110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0" i="1" l="1"/>
  <c r="D50" i="1"/>
  <c r="C50" i="1"/>
  <c r="D38" i="1"/>
  <c r="E38" i="1"/>
  <c r="F38" i="1"/>
  <c r="C40" i="1"/>
  <c r="D40" i="1"/>
  <c r="E40" i="1"/>
  <c r="F40" i="1"/>
  <c r="F36" i="1"/>
  <c r="D36" i="1"/>
  <c r="E36" i="1"/>
  <c r="C36" i="1"/>
</calcChain>
</file>

<file path=xl/sharedStrings.xml><?xml version="1.0" encoding="utf-8"?>
<sst xmlns="http://schemas.openxmlformats.org/spreadsheetml/2006/main" count="24" uniqueCount="17">
  <si>
    <t xml:space="preserve">Exp. 1 </t>
    <phoneticPr fontId="1" type="noConversion"/>
  </si>
  <si>
    <t>frequency (Hz)</t>
    <phoneticPr fontId="1" type="noConversion"/>
  </si>
  <si>
    <t>Amplitude maximum tube length (cm)</t>
    <phoneticPr fontId="1" type="noConversion"/>
  </si>
  <si>
    <t>Exp. 2</t>
    <phoneticPr fontId="1" type="noConversion"/>
  </si>
  <si>
    <t>Amplitude maximum location (cm)</t>
    <phoneticPr fontId="1" type="noConversion"/>
  </si>
  <si>
    <t xml:space="preserve">Tube length = 60 cm </t>
    <phoneticPr fontId="1" type="noConversion"/>
  </si>
  <si>
    <t xml:space="preserve">Tube length = 70 cm </t>
    <phoneticPr fontId="1" type="noConversion"/>
  </si>
  <si>
    <t xml:space="preserve">Exp. 3 </t>
    <phoneticPr fontId="1" type="noConversion"/>
  </si>
  <si>
    <t>resonance frequency (Hz)</t>
    <phoneticPr fontId="1" type="noConversion"/>
  </si>
  <si>
    <t>Triangle wave</t>
    <phoneticPr fontId="1" type="noConversion"/>
  </si>
  <si>
    <t>Square wave</t>
    <phoneticPr fontId="1" type="noConversion"/>
  </si>
  <si>
    <t>Sine wave</t>
    <phoneticPr fontId="1" type="noConversion"/>
  </si>
  <si>
    <t>-</t>
    <phoneticPr fontId="1" type="noConversion"/>
  </si>
  <si>
    <t>Trial 1</t>
    <phoneticPr fontId="1" type="noConversion"/>
  </si>
  <si>
    <t xml:space="preserve">Tube length = 50 cm </t>
    <phoneticPr fontId="1" type="noConversion"/>
  </si>
  <si>
    <t xml:space="preserve">Tube length = 90 cm </t>
    <phoneticPr fontId="1" type="noConversion"/>
  </si>
  <si>
    <t>2d=1.8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</si>
</sst>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22" workbookViewId="0">
      <selection activeCell="E51" sqref="E51"/>
    </sheetView>
  </sheetViews>
  <sheetFormatPr defaultRowHeight="16.5" x14ac:dyDescent="0.3"/>
  <cols>
    <col min="1" max="1" width="24.25" customWidth="1"/>
    <col min="7" max="7" width="18.375" customWidth="1"/>
  </cols>
  <sheetData>
    <row r="1" spans="1:5" x14ac:dyDescent="0.3">
      <c r="A1" t="s">
        <v>0</v>
      </c>
    </row>
    <row r="3" spans="1:5" x14ac:dyDescent="0.3">
      <c r="A3" t="s">
        <v>1</v>
      </c>
      <c r="B3" s="2" t="s">
        <v>2</v>
      </c>
      <c r="C3" s="2"/>
      <c r="D3" s="2"/>
      <c r="E3" s="2"/>
    </row>
    <row r="4" spans="1:5" x14ac:dyDescent="0.3">
      <c r="A4">
        <v>476.1</v>
      </c>
      <c r="B4">
        <v>19.2</v>
      </c>
      <c r="C4">
        <v>56.1</v>
      </c>
    </row>
    <row r="5" spans="1:5" x14ac:dyDescent="0.3">
      <c r="A5">
        <v>643.4</v>
      </c>
      <c r="B5">
        <v>12.1</v>
      </c>
      <c r="C5">
        <v>38.6</v>
      </c>
      <c r="D5">
        <v>66.400000000000006</v>
      </c>
    </row>
    <row r="6" spans="1:5" x14ac:dyDescent="0.3">
      <c r="A6">
        <v>868.5</v>
      </c>
      <c r="B6">
        <v>7.6</v>
      </c>
      <c r="C6">
        <v>27.2</v>
      </c>
      <c r="D6">
        <v>47.5</v>
      </c>
      <c r="E6">
        <v>67.400000000000006</v>
      </c>
    </row>
    <row r="8" spans="1:5" x14ac:dyDescent="0.3">
      <c r="A8" t="s">
        <v>3</v>
      </c>
    </row>
    <row r="10" spans="1:5" x14ac:dyDescent="0.3">
      <c r="A10" s="2" t="s">
        <v>14</v>
      </c>
      <c r="B10" s="2"/>
      <c r="C10" s="2"/>
      <c r="D10" s="2"/>
      <c r="E10" s="2"/>
    </row>
    <row r="11" spans="1:5" x14ac:dyDescent="0.3">
      <c r="A11" t="s">
        <v>1</v>
      </c>
      <c r="B11" s="2" t="s">
        <v>4</v>
      </c>
      <c r="C11" s="2"/>
      <c r="D11" s="2"/>
      <c r="E11" s="2"/>
    </row>
    <row r="12" spans="1:5" x14ac:dyDescent="0.3">
      <c r="A12">
        <v>476.1</v>
      </c>
      <c r="B12">
        <v>8</v>
      </c>
      <c r="C12">
        <v>43.1</v>
      </c>
    </row>
    <row r="13" spans="1:5" x14ac:dyDescent="0.3">
      <c r="A13">
        <v>868.5</v>
      </c>
      <c r="B13">
        <v>6.5</v>
      </c>
      <c r="C13">
        <v>27.2</v>
      </c>
      <c r="D13">
        <v>47.3</v>
      </c>
    </row>
    <row r="15" spans="1:5" x14ac:dyDescent="0.3">
      <c r="A15" s="2" t="s">
        <v>5</v>
      </c>
      <c r="B15" s="2"/>
      <c r="C15" s="2"/>
      <c r="D15" s="2"/>
      <c r="E15" s="2"/>
    </row>
    <row r="16" spans="1:5" x14ac:dyDescent="0.3">
      <c r="A16" t="s">
        <v>1</v>
      </c>
      <c r="B16" s="2" t="s">
        <v>4</v>
      </c>
      <c r="C16" s="2"/>
      <c r="D16" s="2"/>
      <c r="E16" s="2"/>
    </row>
    <row r="17" spans="1:7" x14ac:dyDescent="0.3">
      <c r="A17">
        <v>476.1</v>
      </c>
      <c r="B17">
        <v>11.5</v>
      </c>
      <c r="C17">
        <v>46.8</v>
      </c>
    </row>
    <row r="18" spans="1:7" x14ac:dyDescent="0.3">
      <c r="A18">
        <v>868.5</v>
      </c>
      <c r="B18">
        <v>19.5</v>
      </c>
      <c r="C18">
        <v>38.799999999999997</v>
      </c>
      <c r="D18">
        <v>60</v>
      </c>
    </row>
    <row r="20" spans="1:7" x14ac:dyDescent="0.3">
      <c r="A20" s="2" t="s">
        <v>6</v>
      </c>
      <c r="B20" s="2"/>
      <c r="C20" s="2"/>
      <c r="D20" s="2"/>
      <c r="E20" s="2"/>
    </row>
    <row r="21" spans="1:7" x14ac:dyDescent="0.3">
      <c r="A21" t="s">
        <v>1</v>
      </c>
      <c r="B21" s="2" t="s">
        <v>4</v>
      </c>
      <c r="C21" s="2"/>
      <c r="D21" s="2"/>
      <c r="E21" s="2"/>
    </row>
    <row r="22" spans="1:7" x14ac:dyDescent="0.3">
      <c r="A22">
        <v>476.1</v>
      </c>
      <c r="B22">
        <v>0</v>
      </c>
      <c r="C22">
        <v>35.799999999999997</v>
      </c>
      <c r="D22">
        <v>70</v>
      </c>
    </row>
    <row r="23" spans="1:7" x14ac:dyDescent="0.3">
      <c r="A23">
        <v>868.5</v>
      </c>
      <c r="B23">
        <v>6.9</v>
      </c>
      <c r="C23">
        <v>26.8</v>
      </c>
      <c r="D23">
        <v>47.2</v>
      </c>
      <c r="E23">
        <v>67.400000000000006</v>
      </c>
    </row>
    <row r="25" spans="1:7" x14ac:dyDescent="0.3">
      <c r="A25" t="s">
        <v>7</v>
      </c>
    </row>
    <row r="26" spans="1:7" x14ac:dyDescent="0.3">
      <c r="A26" s="2" t="s">
        <v>13</v>
      </c>
      <c r="B26" s="2"/>
      <c r="C26" s="2"/>
      <c r="D26" s="2"/>
      <c r="E26" s="2"/>
      <c r="F26" s="2"/>
      <c r="G26" t="s">
        <v>15</v>
      </c>
    </row>
    <row r="27" spans="1:7" x14ac:dyDescent="0.3">
      <c r="A27" t="s">
        <v>8</v>
      </c>
      <c r="B27">
        <v>356.9</v>
      </c>
      <c r="C27">
        <v>539.29999999999995</v>
      </c>
      <c r="D27">
        <v>716.6</v>
      </c>
      <c r="E27">
        <v>906.2</v>
      </c>
      <c r="F27">
        <v>1092.0999999999999</v>
      </c>
      <c r="G27" t="s">
        <v>9</v>
      </c>
    </row>
    <row r="29" spans="1:7" x14ac:dyDescent="0.3">
      <c r="A29" t="s">
        <v>8</v>
      </c>
      <c r="B29" s="1" t="s">
        <v>12</v>
      </c>
      <c r="C29">
        <v>538.9</v>
      </c>
      <c r="D29">
        <v>710.6</v>
      </c>
      <c r="E29">
        <v>903.4</v>
      </c>
      <c r="F29">
        <v>1090.5999999999999</v>
      </c>
      <c r="G29" t="s">
        <v>10</v>
      </c>
    </row>
    <row r="31" spans="1:7" x14ac:dyDescent="0.3">
      <c r="A31" t="s">
        <v>8</v>
      </c>
      <c r="B31">
        <v>359.3</v>
      </c>
      <c r="C31">
        <v>538.29999999999995</v>
      </c>
      <c r="D31">
        <v>718.2</v>
      </c>
      <c r="E31">
        <v>903.8</v>
      </c>
      <c r="F31">
        <v>1084.8</v>
      </c>
      <c r="G31" t="s">
        <v>11</v>
      </c>
    </row>
    <row r="36" spans="2:6" x14ac:dyDescent="0.3">
      <c r="B36" t="s">
        <v>16</v>
      </c>
      <c r="C36">
        <f>1.8*(C27-B27)</f>
        <v>328.32</v>
      </c>
      <c r="D36">
        <f>1.8*(D27-C27)</f>
        <v>319.14000000000016</v>
      </c>
      <c r="E36">
        <f t="shared" ref="D36:F36" si="0">1.8*(E27-D27)</f>
        <v>341.28000000000003</v>
      </c>
      <c r="F36">
        <f t="shared" si="0"/>
        <v>334.61999999999978</v>
      </c>
    </row>
    <row r="38" spans="2:6" x14ac:dyDescent="0.3">
      <c r="D38">
        <f>1.8*(D29-C29)</f>
        <v>309.06000000000012</v>
      </c>
      <c r="E38">
        <f t="shared" ref="C38:F38" si="1">1.8*(E29-D29)</f>
        <v>347.03999999999991</v>
      </c>
      <c r="F38">
        <f t="shared" si="1"/>
        <v>336.95999999999987</v>
      </c>
    </row>
    <row r="40" spans="2:6" x14ac:dyDescent="0.3">
      <c r="C40">
        <f t="shared" ref="C40:F40" si="2">1.8*(C31-B31)</f>
        <v>322.19999999999993</v>
      </c>
      <c r="D40">
        <f t="shared" si="2"/>
        <v>323.82000000000016</v>
      </c>
      <c r="E40">
        <f t="shared" si="2"/>
        <v>334.07999999999987</v>
      </c>
      <c r="F40">
        <f t="shared" si="2"/>
        <v>325.8</v>
      </c>
    </row>
    <row r="43" spans="2:6" x14ac:dyDescent="0.3">
      <c r="C43">
        <v>328.32</v>
      </c>
      <c r="D43">
        <v>319.14000000000016</v>
      </c>
      <c r="E43">
        <v>341.28000000000003</v>
      </c>
      <c r="F43">
        <v>334.61999999999978</v>
      </c>
    </row>
    <row r="44" spans="2:6" hidden="1" x14ac:dyDescent="0.3"/>
    <row r="45" spans="2:6" x14ac:dyDescent="0.3">
      <c r="D45">
        <v>309.06000000000012</v>
      </c>
      <c r="E45">
        <v>347.03999999999991</v>
      </c>
      <c r="F45">
        <v>336.95999999999987</v>
      </c>
    </row>
    <row r="46" spans="2:6" hidden="1" x14ac:dyDescent="0.3"/>
    <row r="47" spans="2:6" x14ac:dyDescent="0.3">
      <c r="C47">
        <v>322.19999999999993</v>
      </c>
      <c r="D47">
        <v>323.82000000000016</v>
      </c>
      <c r="E47">
        <v>334.07999999999987</v>
      </c>
      <c r="F47">
        <v>325.8</v>
      </c>
    </row>
    <row r="50" spans="3:5" x14ac:dyDescent="0.3">
      <c r="C50">
        <f>SUM(C43:F47)/11</f>
        <v>329.30181818181819</v>
      </c>
      <c r="D50">
        <f>MAX(C43:F48)-C50</f>
        <v>17.738181818181715</v>
      </c>
      <c r="E50">
        <f>MIN(C43:F47)-C50</f>
        <v>-20.241818181818076</v>
      </c>
    </row>
  </sheetData>
  <mergeCells count="8">
    <mergeCell ref="A20:E20"/>
    <mergeCell ref="B21:E21"/>
    <mergeCell ref="A26:F26"/>
    <mergeCell ref="B3:E3"/>
    <mergeCell ref="A10:E10"/>
    <mergeCell ref="B11:E11"/>
    <mergeCell ref="A15:E15"/>
    <mergeCell ref="B16:E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장재형</cp:lastModifiedBy>
  <dcterms:created xsi:type="dcterms:W3CDTF">2020-04-13T02:20:02Z</dcterms:created>
  <dcterms:modified xsi:type="dcterms:W3CDTF">2020-04-16T04:52:18Z</dcterms:modified>
</cp:coreProperties>
</file>